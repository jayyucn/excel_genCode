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JJSG_H5\newJJSG\design\Config\Common\"/>
    </mc:Choice>
  </mc:AlternateContent>
  <bookViews>
    <workbookView xWindow="0" yWindow="0" windowWidth="28125" windowHeight="12540"/>
  </bookViews>
  <sheets>
    <sheet name="MonsterProp" sheetId="1" r:id="rId1"/>
    <sheet name="_备注说明" sheetId="2" r:id="rId2"/>
  </sheets>
  <externalReferences>
    <externalReference r:id="rId3"/>
    <externalReference r:id="rId4"/>
  </externalReferences>
  <definedNames>
    <definedName name="_xlnm._FilterDatabase" localSheetId="0" hidden="1">MonsterProp!$A$2:$D$8</definedName>
    <definedName name="func">GET.CELL(48,[1]物品定价!A1)</definedName>
  </definedNames>
  <calcPr calcId="162913" calcMode="manual"/>
</workbook>
</file>

<file path=xl/calcChain.xml><?xml version="1.0" encoding="utf-8"?>
<calcChain xmlns="http://schemas.openxmlformats.org/spreadsheetml/2006/main">
  <c r="D6" i="1" l="1"/>
  <c r="D7" i="1"/>
  <c r="D8" i="1"/>
  <c r="D5" i="1"/>
  <c r="J3" i="1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  <c r="H21" i="2"/>
  <c r="I21" i="2"/>
  <c r="H22" i="2"/>
  <c r="I22" i="2"/>
  <c r="H23" i="2"/>
  <c r="I23" i="2"/>
  <c r="H24" i="2"/>
  <c r="I24" i="2"/>
  <c r="H25" i="2"/>
  <c r="I25" i="2"/>
  <c r="H26" i="2"/>
  <c r="I26" i="2"/>
  <c r="H27" i="2"/>
  <c r="I27" i="2"/>
  <c r="H28" i="2"/>
  <c r="I28" i="2"/>
  <c r="H29" i="2"/>
  <c r="I29" i="2"/>
  <c r="H30" i="2"/>
  <c r="I30" i="2"/>
  <c r="H31" i="2"/>
  <c r="I31" i="2"/>
  <c r="H32" i="2"/>
  <c r="I32" i="2"/>
  <c r="H33" i="2"/>
  <c r="I33" i="2"/>
  <c r="H34" i="2"/>
  <c r="I34" i="2"/>
  <c r="H35" i="2"/>
  <c r="I35" i="2"/>
  <c r="H36" i="2"/>
  <c r="I36" i="2"/>
  <c r="H37" i="2"/>
  <c r="I37" i="2"/>
  <c r="I2" i="2"/>
  <c r="I3" i="1" s="1"/>
  <c r="H2" i="2"/>
  <c r="M3" i="1" l="1"/>
  <c r="L3" i="1"/>
  <c r="K3" i="1"/>
</calcChain>
</file>

<file path=xl/comments1.xml><?xml version="1.0" encoding="utf-8"?>
<comments xmlns="http://schemas.openxmlformats.org/spreadsheetml/2006/main">
  <authors>
    <author>王兴东</author>
  </authors>
  <commentLis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王兴东:</t>
        </r>
        <r>
          <rPr>
            <sz val="9"/>
            <color indexed="81"/>
            <rFont val="宋体"/>
            <family val="3"/>
            <charset val="134"/>
          </rPr>
          <t xml:space="preserve">
数值用索引名称，勿动</t>
        </r>
      </text>
    </comment>
    <comment ref="E2" authorId="0" shapeId="0">
      <text>
        <r>
          <rPr>
            <b/>
            <sz val="9"/>
            <color indexed="81"/>
            <rFont val="宋体"/>
            <charset val="134"/>
          </rPr>
          <t>王兴东:</t>
        </r>
        <r>
          <rPr>
            <sz val="9"/>
            <color indexed="81"/>
            <rFont val="宋体"/>
            <charset val="134"/>
          </rPr>
          <t xml:space="preserve">
类型列表见&lt;备注说明&gt;</t>
        </r>
      </text>
    </comment>
    <comment ref="F2" authorId="0" shapeId="0">
      <text>
        <r>
          <rPr>
            <b/>
            <sz val="9"/>
            <color indexed="81"/>
            <rFont val="宋体"/>
            <charset val="134"/>
          </rPr>
          <t>王兴东:</t>
        </r>
        <r>
          <rPr>
            <sz val="9"/>
            <color indexed="81"/>
            <rFont val="宋体"/>
            <charset val="134"/>
          </rPr>
          <t xml:space="preserve">
类型列表见&lt;备注说明&gt;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王兴东:</t>
        </r>
        <r>
          <rPr>
            <sz val="9"/>
            <color indexed="81"/>
            <rFont val="宋体"/>
            <family val="3"/>
            <charset val="134"/>
          </rPr>
          <t xml:space="preserve">
此列开始为数值辅助配置使用，勿动</t>
        </r>
      </text>
    </comment>
  </commentList>
</comments>
</file>

<file path=xl/sharedStrings.xml><?xml version="1.0" encoding="utf-8"?>
<sst xmlns="http://schemas.openxmlformats.org/spreadsheetml/2006/main" count="58" uniqueCount="51">
  <si>
    <t>int</t>
  </si>
  <si>
    <t>string</t>
  </si>
  <si>
    <t>索引名</t>
  </si>
  <si>
    <t>id</t>
  </si>
  <si>
    <t>indexName</t>
  </si>
  <si>
    <t>小boss</t>
    <phoneticPr fontId="3" type="noConversion"/>
  </si>
  <si>
    <t>大boss</t>
    <phoneticPr fontId="3" type="noConversion"/>
  </si>
  <si>
    <t>怪物类型</t>
    <phoneticPr fontId="3" type="noConversion"/>
  </si>
  <si>
    <t>类型编号</t>
    <phoneticPr fontId="3" type="noConversion"/>
  </si>
  <si>
    <t>编号</t>
    <phoneticPr fontId="3" type="noConversion"/>
  </si>
  <si>
    <t>monsterName</t>
    <phoneticPr fontId="3" type="noConversion"/>
  </si>
  <si>
    <t>monsterId</t>
    <phoneticPr fontId="3" type="noConversion"/>
  </si>
  <si>
    <t>怪物ID</t>
    <phoneticPr fontId="3" type="noConversion"/>
  </si>
  <si>
    <t>int</t>
    <phoneticPr fontId="3" type="noConversion"/>
  </si>
  <si>
    <t>瘦弱的吴球生</t>
    <phoneticPr fontId="3" type="noConversion"/>
  </si>
  <si>
    <t>强壮的吴球生</t>
    <phoneticPr fontId="3" type="noConversion"/>
  </si>
  <si>
    <t>狂躁的吴球生</t>
    <phoneticPr fontId="3" type="noConversion"/>
  </si>
  <si>
    <t>暴怒的吴球生</t>
    <phoneticPr fontId="3" type="noConversion"/>
  </si>
  <si>
    <t>怪物名称</t>
    <phoneticPr fontId="3" type="noConversion"/>
  </si>
  <si>
    <t>怪物类型</t>
    <phoneticPr fontId="3" type="noConversion"/>
  </si>
  <si>
    <t>monsterType</t>
    <phoneticPr fontId="3" type="noConversion"/>
  </si>
  <si>
    <t>int</t>
    <phoneticPr fontId="3" type="noConversion"/>
  </si>
  <si>
    <t>怪物等级</t>
    <phoneticPr fontId="3" type="noConversion"/>
  </si>
  <si>
    <t>monsterLevel</t>
    <phoneticPr fontId="3" type="noConversion"/>
  </si>
  <si>
    <t>int</t>
    <phoneticPr fontId="3" type="noConversion"/>
  </si>
  <si>
    <t>propValue</t>
    <phoneticPr fontId="3" type="noConversion"/>
  </si>
  <si>
    <t>DTPropValue[]</t>
    <phoneticPr fontId="3" type="noConversion"/>
  </si>
  <si>
    <t>生命</t>
    <phoneticPr fontId="3" type="noConversion"/>
  </si>
  <si>
    <t>物理防御</t>
    <phoneticPr fontId="3" type="noConversion"/>
  </si>
  <si>
    <t>物理攻击</t>
    <phoneticPr fontId="3" type="noConversion"/>
  </si>
  <si>
    <t>法术防御</t>
    <phoneticPr fontId="3" type="noConversion"/>
  </si>
  <si>
    <t>法术攻击</t>
    <phoneticPr fontId="3" type="noConversion"/>
  </si>
  <si>
    <t>属性ID</t>
    <phoneticPr fontId="3" type="noConversion"/>
  </si>
  <si>
    <t>属性名称</t>
    <phoneticPr fontId="3" type="noConversion"/>
  </si>
  <si>
    <t>中文名称</t>
    <phoneticPr fontId="3" type="noConversion"/>
  </si>
  <si>
    <t>1&amp;1000;14&amp;100;15&amp;100;9&amp;100;10&amp;100</t>
  </si>
  <si>
    <t>1&amp;5000;14&amp;500;15&amp;500;9&amp;500;10&amp;500</t>
  </si>
  <si>
    <t>1&amp;10000;14&amp;1000;15&amp;1000;9&amp;1000;10&amp;1000</t>
  </si>
  <si>
    <t>相性编号</t>
    <phoneticPr fontId="3" type="noConversion"/>
  </si>
  <si>
    <t>相性名称</t>
    <phoneticPr fontId="3" type="noConversion"/>
  </si>
  <si>
    <t>肉盾</t>
    <phoneticPr fontId="3" type="noConversion"/>
  </si>
  <si>
    <t>射手</t>
    <phoneticPr fontId="3" type="noConversion"/>
  </si>
  <si>
    <t>法师</t>
    <phoneticPr fontId="3" type="noConversion"/>
  </si>
  <si>
    <t>刺客</t>
    <phoneticPr fontId="3" type="noConversion"/>
  </si>
  <si>
    <t>怪物相性</t>
    <phoneticPr fontId="3" type="noConversion"/>
  </si>
  <si>
    <t>monsterJob</t>
    <phoneticPr fontId="3" type="noConversion"/>
  </si>
  <si>
    <t>无相性</t>
    <phoneticPr fontId="3" type="noConversion"/>
  </si>
  <si>
    <t>普通怪</t>
    <phoneticPr fontId="3" type="noConversion"/>
  </si>
  <si>
    <t>精英怪</t>
    <phoneticPr fontId="3" type="noConversion"/>
  </si>
  <si>
    <r>
      <rPr>
        <b/>
        <sz val="11"/>
        <rFont val="微软雅黑"/>
        <family val="2"/>
        <charset val="134"/>
      </rPr>
      <t>怪物属性</t>
    </r>
    <r>
      <rPr>
        <b/>
        <sz val="11"/>
        <color theme="0"/>
        <rFont val="微软雅黑"/>
        <family val="2"/>
        <charset val="134"/>
      </rPr>
      <t xml:space="preserve">
</t>
    </r>
    <r>
      <rPr>
        <b/>
        <sz val="11"/>
        <color rgb="FFFF0000"/>
        <rFont val="微软雅黑"/>
        <family val="2"/>
        <charset val="134"/>
      </rPr>
      <t>(点此单元格进行更新)</t>
    </r>
    <phoneticPr fontId="3" type="noConversion"/>
  </si>
  <si>
    <t>1&amp;2000;14&amp;200;15&amp;200;9&amp;200;10&amp;1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</si>
</sst>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name val="微软雅黑"/>
      <family val="2"/>
      <charset val="134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899960325937681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NumberFormat="1" applyFont="1" applyFill="1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 wrapText="1"/>
    </xf>
  </cellXfs>
  <cellStyles count="1">
    <cellStyle name="常规" xfId="0" builtinId="0"/>
  </cellStyles>
  <dxfs count="6">
    <dxf>
      <fill>
        <patternFill patternType="solid">
          <bgColor theme="0" tint="-0.1499374370555742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7030A0"/>
        </patternFill>
      </fill>
    </dxf>
    <dxf>
      <font>
        <color auto="1"/>
      </font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5105;&#30340;&#22362;&#26524;&#20113;\&#29579;&#22823;&#22836;\&#27426;&#20048;&#20114;&#23089;\&#34903;&#26426;&#19977;&#22269;H5\H5&#34903;&#19977;&#32463;&#27982;&#25968;&#205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per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图表"/>
      <sheetName val="统计"/>
      <sheetName val="玩法规划"/>
      <sheetName val="资源规划"/>
      <sheetName val="副本活动"/>
      <sheetName val="玩法活动"/>
      <sheetName val="经验"/>
      <sheetName val="金币"/>
      <sheetName val="技能"/>
      <sheetName val="英雄"/>
      <sheetName val="战魂"/>
      <sheetName val="装备"/>
      <sheetName val="宝石"/>
      <sheetName val="珍宝阁"/>
      <sheetName val="十连抽"/>
      <sheetName val="十连抽新"/>
      <sheetName val="大秘境"/>
      <sheetName val="物品定价"/>
      <sheetName val="辅助"/>
      <sheetName val="前期一次性投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erty"/>
    </sheetNames>
    <sheetDataSet>
      <sheetData sheetId="0">
        <row r="2">
          <cell r="A2" t="str">
            <v>属性id（和属性绑定，不可随意更改）</v>
          </cell>
          <cell r="B2" t="str">
            <v>属性名称</v>
          </cell>
          <cell r="C2" t="str">
            <v>中文名称</v>
          </cell>
          <cell r="D2" t="str">
            <v>中文名称</v>
          </cell>
          <cell r="E2" t="str">
            <v>数值类型: 1普通， 2万分比
(这里是百分比，数据需要除100)</v>
          </cell>
          <cell r="F2" t="str">
            <v>图标</v>
          </cell>
          <cell r="G2" t="str">
            <v>运行模式： 0不可逆 1可回滚 2状态</v>
          </cell>
          <cell r="H2" t="str">
            <v>是否显示：1显示 0不显示</v>
          </cell>
          <cell r="I2" t="str">
            <v>描述</v>
          </cell>
          <cell r="J2" t="str">
            <v>排序</v>
          </cell>
          <cell r="K2" t="str">
            <v>特殊属性颜色</v>
          </cell>
        </row>
        <row r="5">
          <cell r="A5">
            <v>1</v>
          </cell>
          <cell r="B5" t="str">
            <v>MaxHp</v>
          </cell>
          <cell r="C5" t="str">
            <v>生命</v>
          </cell>
          <cell r="D5" t="str">
            <v>角色生命值</v>
          </cell>
          <cell r="E5">
            <v>1</v>
          </cell>
          <cell r="G5">
            <v>0</v>
          </cell>
          <cell r="H5">
            <v>1</v>
          </cell>
          <cell r="J5">
            <v>1</v>
          </cell>
          <cell r="K5">
            <v>1</v>
          </cell>
        </row>
        <row r="6">
          <cell r="A6">
            <v>2</v>
          </cell>
          <cell r="B6" t="str">
            <v>MaxMp</v>
          </cell>
          <cell r="C6" t="str">
            <v>魔法</v>
          </cell>
          <cell r="D6" t="str">
            <v>角色魔法值，用于释放技能</v>
          </cell>
          <cell r="E6">
            <v>1</v>
          </cell>
          <cell r="G6">
            <v>0</v>
          </cell>
          <cell r="H6">
            <v>1</v>
          </cell>
          <cell r="J6">
            <v>2</v>
          </cell>
          <cell r="K6">
            <v>1</v>
          </cell>
        </row>
        <row r="7">
          <cell r="A7">
            <v>3</v>
          </cell>
          <cell r="B7" t="str">
            <v>Hp</v>
          </cell>
          <cell r="C7" t="str">
            <v>当前生命</v>
          </cell>
          <cell r="D7" t="str">
            <v>当前生命</v>
          </cell>
          <cell r="E7">
            <v>1</v>
          </cell>
          <cell r="F7">
            <v>2000000</v>
          </cell>
          <cell r="G7">
            <v>1</v>
          </cell>
          <cell r="H7">
            <v>1</v>
          </cell>
        </row>
        <row r="8">
          <cell r="A8">
            <v>4</v>
          </cell>
          <cell r="B8" t="str">
            <v>Mp</v>
          </cell>
          <cell r="C8" t="str">
            <v>当前魔法</v>
          </cell>
          <cell r="D8" t="str">
            <v>当前魔法</v>
          </cell>
          <cell r="E8">
            <v>1</v>
          </cell>
          <cell r="G8">
            <v>1</v>
          </cell>
          <cell r="H8">
            <v>1</v>
          </cell>
        </row>
        <row r="9">
          <cell r="A9">
            <v>5</v>
          </cell>
          <cell r="B9" t="str">
            <v>Strength</v>
          </cell>
          <cell r="C9" t="str">
            <v>力量</v>
          </cell>
          <cell r="D9" t="str">
            <v>增加物理攻击</v>
          </cell>
          <cell r="E9">
            <v>1</v>
          </cell>
          <cell r="F9">
            <v>2000002</v>
          </cell>
          <cell r="G9">
            <v>1</v>
          </cell>
          <cell r="H9">
            <v>1</v>
          </cell>
          <cell r="J9">
            <v>3</v>
          </cell>
          <cell r="K9">
            <v>1</v>
          </cell>
        </row>
        <row r="10">
          <cell r="A10">
            <v>6</v>
          </cell>
          <cell r="B10" t="str">
            <v>Intelligence</v>
          </cell>
          <cell r="C10" t="str">
            <v>智力</v>
          </cell>
          <cell r="D10" t="str">
            <v>增加法术攻击</v>
          </cell>
          <cell r="E10">
            <v>1</v>
          </cell>
          <cell r="F10">
            <v>2000003</v>
          </cell>
          <cell r="G10">
            <v>1</v>
          </cell>
          <cell r="H10">
            <v>1</v>
          </cell>
          <cell r="J10">
            <v>4</v>
          </cell>
          <cell r="K10">
            <v>1</v>
          </cell>
        </row>
        <row r="11">
          <cell r="A11">
            <v>7</v>
          </cell>
          <cell r="B11" t="str">
            <v>Power</v>
          </cell>
          <cell r="C11" t="str">
            <v>体力</v>
          </cell>
          <cell r="D11" t="str">
            <v>增加生命和生命恢复</v>
          </cell>
          <cell r="E11">
            <v>1</v>
          </cell>
          <cell r="F11">
            <v>2000001</v>
          </cell>
          <cell r="G11">
            <v>1</v>
          </cell>
          <cell r="H11">
            <v>1</v>
          </cell>
          <cell r="J11">
            <v>5</v>
          </cell>
          <cell r="K11">
            <v>1</v>
          </cell>
        </row>
        <row r="12">
          <cell r="A12">
            <v>8</v>
          </cell>
          <cell r="B12" t="str">
            <v>Spirit</v>
          </cell>
          <cell r="C12" t="str">
            <v>精神</v>
          </cell>
          <cell r="D12" t="str">
            <v>增加魔法和魔法恢复</v>
          </cell>
          <cell r="E12">
            <v>1</v>
          </cell>
          <cell r="G12">
            <v>1</v>
          </cell>
          <cell r="H12">
            <v>1</v>
          </cell>
          <cell r="J12">
            <v>6</v>
          </cell>
          <cell r="K12">
            <v>1</v>
          </cell>
        </row>
        <row r="13">
          <cell r="A13">
            <v>9</v>
          </cell>
          <cell r="B13" t="str">
            <v>Patt</v>
          </cell>
          <cell r="C13" t="str">
            <v>物理攻击</v>
          </cell>
          <cell r="D13" t="str">
            <v>普通攻击造成伤害值</v>
          </cell>
          <cell r="E13">
            <v>1</v>
          </cell>
          <cell r="G13">
            <v>1</v>
          </cell>
          <cell r="H13">
            <v>1</v>
          </cell>
          <cell r="J13">
            <v>7</v>
          </cell>
          <cell r="K13">
            <v>1</v>
          </cell>
        </row>
        <row r="14">
          <cell r="A14">
            <v>10</v>
          </cell>
          <cell r="B14" t="str">
            <v>Matt</v>
          </cell>
          <cell r="C14" t="str">
            <v>法术攻击</v>
          </cell>
          <cell r="D14" t="str">
            <v>技能攻击造成伤害值</v>
          </cell>
          <cell r="E14">
            <v>1</v>
          </cell>
          <cell r="G14">
            <v>1</v>
          </cell>
          <cell r="H14">
            <v>1</v>
          </cell>
          <cell r="J14">
            <v>8</v>
          </cell>
          <cell r="K14">
            <v>1</v>
          </cell>
        </row>
        <row r="15">
          <cell r="A15">
            <v>11</v>
          </cell>
          <cell r="B15" t="str">
            <v>FixAtt</v>
          </cell>
          <cell r="C15" t="str">
            <v>固定攻击</v>
          </cell>
          <cell r="D15" t="str">
            <v>固定技能伤害</v>
          </cell>
          <cell r="E15">
            <v>1</v>
          </cell>
          <cell r="G15">
            <v>1</v>
          </cell>
          <cell r="H15">
            <v>1</v>
          </cell>
          <cell r="J15">
            <v>9</v>
          </cell>
          <cell r="K15">
            <v>1</v>
          </cell>
        </row>
        <row r="16">
          <cell r="A16">
            <v>12</v>
          </cell>
          <cell r="B16" t="str">
            <v>PattNodef</v>
          </cell>
          <cell r="C16" t="str">
            <v>破防物攻</v>
          </cell>
          <cell r="D16" t="str">
            <v>伤害不计算物理防御</v>
          </cell>
          <cell r="E16">
            <v>1</v>
          </cell>
          <cell r="G16">
            <v>1</v>
          </cell>
          <cell r="H16">
            <v>1</v>
          </cell>
          <cell r="J16">
            <v>10</v>
          </cell>
          <cell r="K16">
            <v>1</v>
          </cell>
        </row>
        <row r="17">
          <cell r="A17">
            <v>13</v>
          </cell>
          <cell r="B17" t="str">
            <v>MattNodef</v>
          </cell>
          <cell r="C17" t="str">
            <v>破防法攻</v>
          </cell>
          <cell r="D17" t="str">
            <v>伤害不计算法术防御</v>
          </cell>
          <cell r="E17">
            <v>1</v>
          </cell>
          <cell r="G17">
            <v>1</v>
          </cell>
          <cell r="H17">
            <v>1</v>
          </cell>
          <cell r="J17">
            <v>11</v>
          </cell>
          <cell r="K17">
            <v>1</v>
          </cell>
        </row>
        <row r="18">
          <cell r="A18">
            <v>14</v>
          </cell>
          <cell r="B18" t="str">
            <v>Pdef</v>
          </cell>
          <cell r="C18" t="str">
            <v>物理防御</v>
          </cell>
          <cell r="D18" t="str">
            <v>削减收到的物理伤害</v>
          </cell>
          <cell r="E18">
            <v>1</v>
          </cell>
          <cell r="G18">
            <v>1</v>
          </cell>
          <cell r="H18">
            <v>1</v>
          </cell>
          <cell r="J18">
            <v>12</v>
          </cell>
          <cell r="K18">
            <v>1</v>
          </cell>
        </row>
        <row r="19">
          <cell r="A19">
            <v>15</v>
          </cell>
          <cell r="B19" t="str">
            <v>Mdef</v>
          </cell>
          <cell r="C19" t="str">
            <v>法术防御</v>
          </cell>
          <cell r="D19" t="str">
            <v>削减收到的法术伤害</v>
          </cell>
          <cell r="E19">
            <v>1</v>
          </cell>
          <cell r="G19">
            <v>1</v>
          </cell>
          <cell r="H19">
            <v>1</v>
          </cell>
          <cell r="J19">
            <v>13</v>
          </cell>
          <cell r="K19">
            <v>1</v>
          </cell>
        </row>
        <row r="20">
          <cell r="A20">
            <v>16</v>
          </cell>
          <cell r="B20" t="str">
            <v>Pcrit</v>
          </cell>
          <cell r="C20" t="str">
            <v>物理暴击</v>
          </cell>
          <cell r="D20" t="str">
            <v>物理伤害暴击率</v>
          </cell>
          <cell r="E20">
            <v>2</v>
          </cell>
          <cell r="G20">
            <v>1</v>
          </cell>
          <cell r="H20">
            <v>1</v>
          </cell>
          <cell r="J20">
            <v>14</v>
          </cell>
          <cell r="K20">
            <v>1</v>
          </cell>
        </row>
        <row r="21">
          <cell r="A21">
            <v>17</v>
          </cell>
          <cell r="B21" t="str">
            <v>Mcrit</v>
          </cell>
          <cell r="C21" t="str">
            <v>法术暴击</v>
          </cell>
          <cell r="D21" t="str">
            <v>法术伤害暴击率</v>
          </cell>
          <cell r="E21">
            <v>2</v>
          </cell>
          <cell r="G21">
            <v>1</v>
          </cell>
          <cell r="H21">
            <v>1</v>
          </cell>
          <cell r="J21">
            <v>15</v>
          </cell>
          <cell r="K21">
            <v>1</v>
          </cell>
        </row>
        <row r="22">
          <cell r="A22">
            <v>18</v>
          </cell>
          <cell r="B22" t="str">
            <v>PcritDamage</v>
          </cell>
          <cell r="C22" t="str">
            <v>物暴伤害</v>
          </cell>
          <cell r="D22" t="str">
            <v>增加物理伤害暴击值</v>
          </cell>
          <cell r="E22">
            <v>2</v>
          </cell>
          <cell r="G22">
            <v>1</v>
          </cell>
          <cell r="H22">
            <v>1</v>
          </cell>
          <cell r="J22">
            <v>16</v>
          </cell>
          <cell r="K22">
            <v>1</v>
          </cell>
        </row>
        <row r="23">
          <cell r="A23">
            <v>19</v>
          </cell>
          <cell r="B23" t="str">
            <v>McritDamage</v>
          </cell>
          <cell r="C23" t="str">
            <v>法暴伤害</v>
          </cell>
          <cell r="D23" t="str">
            <v>增加法术伤害暴击值</v>
          </cell>
          <cell r="E23">
            <v>2</v>
          </cell>
          <cell r="G23">
            <v>1</v>
          </cell>
          <cell r="H23">
            <v>1</v>
          </cell>
          <cell r="J23">
            <v>17</v>
          </cell>
          <cell r="K23">
            <v>1</v>
          </cell>
        </row>
        <row r="24">
          <cell r="A24">
            <v>20</v>
          </cell>
          <cell r="B24" t="str">
            <v>AttSpeed</v>
          </cell>
          <cell r="C24" t="str">
            <v>攻击速度</v>
          </cell>
          <cell r="D24" t="str">
            <v>提升普攻攻速</v>
          </cell>
          <cell r="E24">
            <v>1</v>
          </cell>
          <cell r="G24">
            <v>1</v>
          </cell>
          <cell r="H24">
            <v>1</v>
          </cell>
          <cell r="J24">
            <v>18</v>
          </cell>
          <cell r="K24">
            <v>1</v>
          </cell>
        </row>
        <row r="25">
          <cell r="A25">
            <v>21</v>
          </cell>
          <cell r="B25" t="str">
            <v>CastSpeed</v>
          </cell>
          <cell r="C25" t="str">
            <v>施法速度</v>
          </cell>
          <cell r="D25" t="str">
            <v>提升法攻攻速</v>
          </cell>
          <cell r="E25">
            <v>1</v>
          </cell>
          <cell r="G25">
            <v>1</v>
          </cell>
          <cell r="H25">
            <v>1</v>
          </cell>
          <cell r="J25">
            <v>19</v>
          </cell>
          <cell r="K25">
            <v>1</v>
          </cell>
        </row>
        <row r="26">
          <cell r="A26">
            <v>22</v>
          </cell>
          <cell r="B26" t="str">
            <v>MoveSpeed</v>
          </cell>
          <cell r="C26" t="str">
            <v>移动速度</v>
          </cell>
          <cell r="D26" t="str">
            <v>提升移动速度</v>
          </cell>
          <cell r="E26">
            <v>1</v>
          </cell>
          <cell r="G26">
            <v>1</v>
          </cell>
          <cell r="H26">
            <v>1</v>
          </cell>
          <cell r="J26">
            <v>20</v>
          </cell>
          <cell r="K26">
            <v>1</v>
          </cell>
        </row>
        <row r="27">
          <cell r="A27">
            <v>23</v>
          </cell>
          <cell r="B27" t="str">
            <v>Hit</v>
          </cell>
          <cell r="C27" t="str">
            <v>命中</v>
          </cell>
          <cell r="D27" t="str">
            <v>提升攻击命中率</v>
          </cell>
          <cell r="E27">
            <v>2</v>
          </cell>
          <cell r="G27">
            <v>1</v>
          </cell>
          <cell r="H27">
            <v>1</v>
          </cell>
          <cell r="J27">
            <v>21</v>
          </cell>
          <cell r="K27">
            <v>1</v>
          </cell>
        </row>
        <row r="28">
          <cell r="A28">
            <v>24</v>
          </cell>
          <cell r="B28" t="str">
            <v>Dodge</v>
          </cell>
          <cell r="C28" t="str">
            <v>闪避</v>
          </cell>
          <cell r="D28" t="str">
            <v>提升被攻击闪避率</v>
          </cell>
          <cell r="E28">
            <v>2</v>
          </cell>
          <cell r="G28">
            <v>1</v>
          </cell>
          <cell r="H28">
            <v>1</v>
          </cell>
          <cell r="J28">
            <v>22</v>
          </cell>
          <cell r="K28">
            <v>1</v>
          </cell>
        </row>
        <row r="29">
          <cell r="A29">
            <v>25</v>
          </cell>
          <cell r="B29" t="str">
            <v>HpAddTime</v>
          </cell>
          <cell r="C29" t="str">
            <v>生命回复</v>
          </cell>
          <cell r="D29" t="str">
            <v>生命恢复速度/秒</v>
          </cell>
          <cell r="E29">
            <v>1</v>
          </cell>
          <cell r="G29">
            <v>1</v>
          </cell>
          <cell r="H29">
            <v>1</v>
          </cell>
          <cell r="J29">
            <v>23</v>
          </cell>
          <cell r="K29">
            <v>1</v>
          </cell>
        </row>
        <row r="30">
          <cell r="A30">
            <v>26</v>
          </cell>
          <cell r="B30" t="str">
            <v>MpAddTime</v>
          </cell>
          <cell r="C30" t="str">
            <v>魔法回复</v>
          </cell>
          <cell r="D30" t="str">
            <v>魔法恢复速度/秒</v>
          </cell>
          <cell r="E30">
            <v>1</v>
          </cell>
          <cell r="G30">
            <v>1</v>
          </cell>
          <cell r="H30">
            <v>1</v>
          </cell>
          <cell r="J30">
            <v>24</v>
          </cell>
          <cell r="K30">
            <v>1</v>
          </cell>
        </row>
        <row r="31">
          <cell r="A31">
            <v>27</v>
          </cell>
          <cell r="B31" t="str">
            <v>Rigidity</v>
          </cell>
          <cell r="C31" t="str">
            <v>僵直</v>
          </cell>
          <cell r="D31" t="str">
            <v>被攻击时僵硬时间</v>
          </cell>
          <cell r="E31">
            <v>1</v>
          </cell>
          <cell r="G31">
            <v>1</v>
          </cell>
          <cell r="H31">
            <v>1</v>
          </cell>
          <cell r="J31">
            <v>25</v>
          </cell>
          <cell r="K31">
            <v>1</v>
          </cell>
        </row>
        <row r="32">
          <cell r="A32">
            <v>28</v>
          </cell>
          <cell r="B32" t="str">
            <v>Stiff</v>
          </cell>
          <cell r="C32" t="str">
            <v>硬直</v>
          </cell>
          <cell r="D32" t="str">
            <v>降低受攻击后僵直时间</v>
          </cell>
          <cell r="E32">
            <v>1</v>
          </cell>
          <cell r="G32">
            <v>1</v>
          </cell>
          <cell r="H32">
            <v>1</v>
          </cell>
          <cell r="J32">
            <v>26</v>
          </cell>
          <cell r="K32">
            <v>1</v>
          </cell>
        </row>
        <row r="33">
          <cell r="A33">
            <v>29</v>
          </cell>
          <cell r="B33" t="str">
            <v>EnhanceBright</v>
          </cell>
          <cell r="C33" t="str">
            <v>光属性强化</v>
          </cell>
          <cell r="D33" t="str">
            <v>增加光属性伤害</v>
          </cell>
          <cell r="E33">
            <v>1</v>
          </cell>
          <cell r="G33">
            <v>1</v>
          </cell>
          <cell r="H33">
            <v>1</v>
          </cell>
          <cell r="J33">
            <v>27</v>
          </cell>
          <cell r="K33">
            <v>2</v>
          </cell>
        </row>
        <row r="34">
          <cell r="A34">
            <v>30</v>
          </cell>
          <cell r="B34" t="str">
            <v>EnhanceDark</v>
          </cell>
          <cell r="C34" t="str">
            <v>暗属性强化</v>
          </cell>
          <cell r="D34" t="str">
            <v>增加暗属性伤害</v>
          </cell>
          <cell r="E34">
            <v>1</v>
          </cell>
          <cell r="G34">
            <v>1</v>
          </cell>
          <cell r="H34">
            <v>1</v>
          </cell>
          <cell r="J34">
            <v>28</v>
          </cell>
          <cell r="K34">
            <v>2</v>
          </cell>
        </row>
        <row r="35">
          <cell r="A35">
            <v>31</v>
          </cell>
          <cell r="B35" t="str">
            <v>EnhanceIce</v>
          </cell>
          <cell r="C35" t="str">
            <v>冰属性强化</v>
          </cell>
          <cell r="D35" t="str">
            <v>增加冰属性伤害</v>
          </cell>
          <cell r="E35">
            <v>1</v>
          </cell>
          <cell r="G35">
            <v>1</v>
          </cell>
          <cell r="H35">
            <v>1</v>
          </cell>
          <cell r="J35">
            <v>29</v>
          </cell>
          <cell r="K35">
            <v>2</v>
          </cell>
        </row>
        <row r="36">
          <cell r="A36">
            <v>32</v>
          </cell>
          <cell r="B36" t="str">
            <v>EnhanceFire</v>
          </cell>
          <cell r="C36" t="str">
            <v>火属性强化</v>
          </cell>
          <cell r="D36" t="str">
            <v>增加火属性伤害</v>
          </cell>
          <cell r="E36">
            <v>1</v>
          </cell>
          <cell r="G36">
            <v>1</v>
          </cell>
          <cell r="H36">
            <v>1</v>
          </cell>
          <cell r="J36">
            <v>30</v>
          </cell>
          <cell r="K36">
            <v>2</v>
          </cell>
        </row>
        <row r="37">
          <cell r="A37">
            <v>33</v>
          </cell>
          <cell r="B37" t="str">
            <v>DefBright</v>
          </cell>
          <cell r="C37" t="str">
            <v>光属性抗性</v>
          </cell>
          <cell r="D37" t="str">
            <v>增加光属性伤害抗性</v>
          </cell>
          <cell r="E37">
            <v>1</v>
          </cell>
          <cell r="G37">
            <v>1</v>
          </cell>
          <cell r="H37">
            <v>1</v>
          </cell>
          <cell r="J37">
            <v>31</v>
          </cell>
          <cell r="K37">
            <v>2</v>
          </cell>
        </row>
        <row r="38">
          <cell r="A38">
            <v>34</v>
          </cell>
          <cell r="B38" t="str">
            <v>DefDark</v>
          </cell>
          <cell r="C38" t="str">
            <v>暗属性抗性</v>
          </cell>
          <cell r="D38" t="str">
            <v>增加暗属性伤害抗性</v>
          </cell>
          <cell r="E38">
            <v>1</v>
          </cell>
          <cell r="G38">
            <v>1</v>
          </cell>
          <cell r="H38">
            <v>1</v>
          </cell>
          <cell r="J38">
            <v>32</v>
          </cell>
          <cell r="K38">
            <v>2</v>
          </cell>
        </row>
        <row r="39">
          <cell r="A39">
            <v>35</v>
          </cell>
          <cell r="B39" t="str">
            <v>DefIce</v>
          </cell>
          <cell r="C39" t="str">
            <v>冰属性抗性</v>
          </cell>
          <cell r="D39" t="str">
            <v>增加冰属性伤害抗性</v>
          </cell>
          <cell r="E39">
            <v>1</v>
          </cell>
          <cell r="G39">
            <v>1</v>
          </cell>
          <cell r="H39">
            <v>1</v>
          </cell>
          <cell r="J39">
            <v>33</v>
          </cell>
          <cell r="K39">
            <v>2</v>
          </cell>
        </row>
        <row r="40">
          <cell r="A40">
            <v>36</v>
          </cell>
          <cell r="B40" t="str">
            <v>DefFire</v>
          </cell>
          <cell r="C40" t="str">
            <v>火属性抗性</v>
          </cell>
          <cell r="D40" t="str">
            <v>增加火属性伤害抗性</v>
          </cell>
          <cell r="E40">
            <v>1</v>
          </cell>
          <cell r="G40">
            <v>1</v>
          </cell>
          <cell r="H40">
            <v>1</v>
          </cell>
          <cell r="J40">
            <v>34</v>
          </cell>
          <cell r="K40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"/>
  <sheetViews>
    <sheetView tabSelected="1" zoomScale="85" zoomScaleNormal="85" workbookViewId="0">
      <pane xSplit="3" ySplit="4" topLeftCell="D5" activePane="bottomRight" state="frozen"/>
      <selection pane="topRight"/>
      <selection pane="bottomLeft"/>
      <selection pane="bottomRight" activeCell="M18" sqref="M18"/>
    </sheetView>
  </sheetViews>
  <sheetFormatPr defaultColWidth="9" defaultRowHeight="16.5" x14ac:dyDescent="0.2"/>
  <cols>
    <col min="1" max="2" width="10.75" style="3" customWidth="1"/>
    <col min="3" max="4" width="20.875" style="3" customWidth="1"/>
    <col min="5" max="6" width="12.125" style="3" customWidth="1"/>
    <col min="7" max="7" width="16.625" style="3" customWidth="1"/>
    <col min="8" max="8" width="42.25" style="3" customWidth="1"/>
    <col min="9" max="9" width="16.625" style="13" customWidth="1"/>
    <col min="10" max="10" width="12.125" style="3" customWidth="1"/>
    <col min="11" max="11" width="14.875" style="8" customWidth="1"/>
    <col min="12" max="12" width="12.125" style="3" customWidth="1"/>
    <col min="13" max="13" width="12.125" style="8" customWidth="1"/>
    <col min="14" max="17" width="12.125" style="3" customWidth="1"/>
    <col min="18" max="16384" width="9" style="3"/>
  </cols>
  <sheetData>
    <row r="1" spans="1:13" s="1" customFormat="1" ht="18" customHeight="1" x14ac:dyDescent="0.2">
      <c r="A1" s="1" t="s">
        <v>0</v>
      </c>
      <c r="B1" s="1" t="s">
        <v>13</v>
      </c>
      <c r="C1" s="1" t="s">
        <v>1</v>
      </c>
      <c r="D1" s="4" t="s">
        <v>1</v>
      </c>
      <c r="E1" s="1" t="s">
        <v>21</v>
      </c>
      <c r="F1" s="1" t="s">
        <v>13</v>
      </c>
      <c r="G1" s="1" t="s">
        <v>24</v>
      </c>
      <c r="H1" s="1" t="s">
        <v>26</v>
      </c>
      <c r="I1" s="11" t="s">
        <v>24</v>
      </c>
      <c r="J1" s="9" t="s">
        <v>24</v>
      </c>
      <c r="K1" s="9" t="s">
        <v>21</v>
      </c>
      <c r="L1" s="9" t="s">
        <v>21</v>
      </c>
      <c r="M1" s="9" t="s">
        <v>13</v>
      </c>
    </row>
    <row r="2" spans="1:13" s="2" customFormat="1" ht="36" customHeight="1" x14ac:dyDescent="0.2">
      <c r="A2" s="2" t="s">
        <v>9</v>
      </c>
      <c r="B2" s="2" t="s">
        <v>12</v>
      </c>
      <c r="C2" s="2" t="s">
        <v>18</v>
      </c>
      <c r="D2" s="5" t="s">
        <v>2</v>
      </c>
      <c r="E2" s="2" t="s">
        <v>19</v>
      </c>
      <c r="F2" s="2" t="s">
        <v>44</v>
      </c>
      <c r="G2" s="2" t="s">
        <v>22</v>
      </c>
      <c r="H2" s="14" t="s">
        <v>49</v>
      </c>
      <c r="I2" s="12" t="s">
        <v>27</v>
      </c>
      <c r="J2" s="10" t="s">
        <v>28</v>
      </c>
      <c r="K2" s="10" t="s">
        <v>30</v>
      </c>
      <c r="L2" s="10" t="s">
        <v>29</v>
      </c>
      <c r="M2" s="10" t="s">
        <v>31</v>
      </c>
    </row>
    <row r="3" spans="1:13" s="1" customFormat="1" ht="18" customHeight="1" x14ac:dyDescent="0.2">
      <c r="A3" s="1" t="s">
        <v>3</v>
      </c>
      <c r="B3" s="1" t="s">
        <v>11</v>
      </c>
      <c r="C3" s="1" t="s">
        <v>10</v>
      </c>
      <c r="D3" s="4" t="s">
        <v>4</v>
      </c>
      <c r="E3" s="1" t="s">
        <v>20</v>
      </c>
      <c r="F3" s="1" t="s">
        <v>45</v>
      </c>
      <c r="G3" s="1" t="s">
        <v>23</v>
      </c>
      <c r="H3" s="1" t="s">
        <v>25</v>
      </c>
      <c r="I3" s="11" t="str">
        <f>INDEX(_备注说明!$H:$H,MATCH(I$2,_备注说明!$I:$I,0))</f>
        <v>MaxHp</v>
      </c>
      <c r="J3" s="9" t="str">
        <f>INDEX(_备注说明!$H:$H,MATCH(J$2,_备注说明!$I:$I,0))</f>
        <v>Pdef</v>
      </c>
      <c r="K3" s="9" t="str">
        <f>INDEX(_备注说明!$H:$H,MATCH(K$2,_备注说明!$I:$I,0))</f>
        <v>Mdef</v>
      </c>
      <c r="L3" s="9" t="str">
        <f>INDEX(_备注说明!$H:$H,MATCH(L$2,_备注说明!$I:$I,0))</f>
        <v>Patt</v>
      </c>
      <c r="M3" s="9" t="str">
        <f>INDEX(_备注说明!$H:$H,MATCH(M$2,_备注说明!$I:$I,0))</f>
        <v>Matt</v>
      </c>
    </row>
    <row r="4" spans="1:13" s="1" customFormat="1" ht="18" customHeight="1" x14ac:dyDescent="0.2">
      <c r="A4" s="1">
        <v>3</v>
      </c>
      <c r="B4" s="1">
        <v>3</v>
      </c>
      <c r="C4" s="1">
        <v>3</v>
      </c>
      <c r="D4" s="4">
        <v>3</v>
      </c>
      <c r="E4" s="1">
        <v>3</v>
      </c>
      <c r="F4" s="1">
        <v>3</v>
      </c>
      <c r="G4" s="1">
        <v>3</v>
      </c>
      <c r="H4" s="1">
        <v>3</v>
      </c>
      <c r="I4" s="11">
        <v>3</v>
      </c>
      <c r="J4" s="9">
        <v>3</v>
      </c>
      <c r="K4" s="9">
        <v>3</v>
      </c>
      <c r="L4" s="9">
        <v>3</v>
      </c>
      <c r="M4" s="9">
        <v>3</v>
      </c>
    </row>
    <row r="5" spans="1:13" ht="18" customHeight="1" x14ac:dyDescent="0.2">
      <c r="A5" s="3">
        <v>1</v>
      </c>
      <c r="B5" s="3">
        <v>1001</v>
      </c>
      <c r="C5" s="3" t="s">
        <v>14</v>
      </c>
      <c r="D5" s="3" t="str">
        <f>G5&amp;"级"&amp;VLOOKUP($E5,_备注说明!$A:$B,2,0)&amp;"-"&amp;VLOOKUP($F5,_备注说明!$D:$E,2,0)</f>
        <v>5级普通怪-无相性</v>
      </c>
      <c r="E5" s="3">
        <v>1</v>
      </c>
      <c r="F5" s="3">
        <v>0</v>
      </c>
      <c r="G5" s="3">
        <v>5</v>
      </c>
      <c r="H5" s="3" t="s">
        <v>35</v>
      </c>
      <c r="I5" s="13">
        <v>1000</v>
      </c>
      <c r="J5" s="3">
        <v>100</v>
      </c>
      <c r="K5" s="3">
        <v>100</v>
      </c>
      <c r="L5" s="3">
        <v>100</v>
      </c>
      <c r="M5" s="3">
        <v>100</v>
      </c>
    </row>
    <row r="6" spans="1:13" ht="18" customHeight="1" x14ac:dyDescent="0.2">
      <c r="A6" s="3">
        <v>2</v>
      </c>
      <c r="B6" s="3">
        <v>1001</v>
      </c>
      <c r="C6" s="3" t="s">
        <v>15</v>
      </c>
      <c r="D6" s="3" t="str">
        <f>G6&amp;"级"&amp;VLOOKUP($E6,_备注说明!$A:$B,2,0)&amp;"-"&amp;VLOOKUP($F6,_备注说明!$D:$E,2,0)</f>
        <v>6级精英怪-肉盾</v>
      </c>
      <c r="E6" s="3">
        <v>2</v>
      </c>
      <c r="F6" s="3">
        <v>1</v>
      </c>
      <c r="G6" s="3">
        <v>6</v>
      </c>
      <c r="H6" s="3" t="s">
        <v>50</v>
      </c>
      <c r="I6" s="13">
        <v>2000</v>
      </c>
      <c r="J6" s="3">
        <v>200</v>
      </c>
      <c r="K6" s="3">
        <v>200</v>
      </c>
      <c r="L6" s="3">
        <v>200</v>
      </c>
      <c r="M6" s="3">
        <v>200</v>
      </c>
    </row>
    <row r="7" spans="1:13" ht="18" customHeight="1" x14ac:dyDescent="0.2">
      <c r="A7" s="3">
        <v>3</v>
      </c>
      <c r="B7" s="3">
        <v>1001</v>
      </c>
      <c r="C7" s="3" t="s">
        <v>16</v>
      </c>
      <c r="D7" s="3" t="str">
        <f>G7&amp;"级"&amp;VLOOKUP($E7,_备注说明!$A:$B,2,0)&amp;"-"&amp;VLOOKUP($F7,_备注说明!$D:$E,2,0)</f>
        <v>7级小boss-无相性</v>
      </c>
      <c r="E7" s="3">
        <v>3</v>
      </c>
      <c r="F7" s="3">
        <v>0</v>
      </c>
      <c r="G7" s="3">
        <v>7</v>
      </c>
      <c r="H7" s="3" t="s">
        <v>36</v>
      </c>
      <c r="I7" s="13">
        <v>5000</v>
      </c>
      <c r="J7" s="3">
        <v>500</v>
      </c>
      <c r="K7" s="3">
        <v>500</v>
      </c>
      <c r="L7" s="3">
        <v>500</v>
      </c>
      <c r="M7" s="3">
        <v>500</v>
      </c>
    </row>
    <row r="8" spans="1:13" ht="18" customHeight="1" x14ac:dyDescent="0.2">
      <c r="A8" s="3">
        <v>4</v>
      </c>
      <c r="B8" s="3">
        <v>1001</v>
      </c>
      <c r="C8" s="3" t="s">
        <v>17</v>
      </c>
      <c r="D8" s="3" t="str">
        <f>G8&amp;"级"&amp;VLOOKUP($E8,_备注说明!$A:$B,2,0)&amp;"-"&amp;VLOOKUP($F8,_备注说明!$D:$E,2,0)</f>
        <v>8级大boss-射手</v>
      </c>
      <c r="E8" s="3">
        <v>4</v>
      </c>
      <c r="F8" s="3">
        <v>2</v>
      </c>
      <c r="G8" s="3">
        <v>8</v>
      </c>
      <c r="H8" s="3" t="s">
        <v>37</v>
      </c>
      <c r="I8" s="13">
        <v>10000</v>
      </c>
      <c r="J8" s="3">
        <v>1000</v>
      </c>
      <c r="K8" s="3">
        <v>1000</v>
      </c>
      <c r="L8" s="3">
        <v>1000</v>
      </c>
      <c r="M8" s="3">
        <v>1000</v>
      </c>
    </row>
  </sheetData>
  <sortState ref="A5:AB13">
    <sortCondition ref="A5:A13"/>
  </sortState>
  <phoneticPr fontId="3" type="noConversion"/>
  <conditionalFormatting sqref="A1:B1048576">
    <cfRule type="expression" dxfId="5" priority="79">
      <formula>AND(COUNTIF($A:$A,A1)&gt;1,$A1&lt;&gt;3)</formula>
    </cfRule>
  </conditionalFormatting>
  <conditionalFormatting sqref="C5:C1048576">
    <cfRule type="expression" dxfId="4" priority="85">
      <formula>#REF!=5</formula>
    </cfRule>
    <cfRule type="expression" dxfId="3" priority="86">
      <formula>#REF!=4</formula>
    </cfRule>
    <cfRule type="expression" dxfId="2" priority="87">
      <formula>#REF!=3</formula>
    </cfRule>
    <cfRule type="expression" dxfId="1" priority="88">
      <formula>#REF!=2</formula>
    </cfRule>
    <cfRule type="expression" dxfId="0" priority="89">
      <formula>#REF!=1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workbookViewId="0">
      <selection activeCell="B4" sqref="B4"/>
    </sheetView>
  </sheetViews>
  <sheetFormatPr defaultColWidth="9" defaultRowHeight="16.5" x14ac:dyDescent="0.3"/>
  <cols>
    <col min="1" max="1" width="9" style="6" customWidth="1"/>
    <col min="2" max="6" width="9" style="6"/>
    <col min="7" max="7" width="7.375" style="6" bestFit="1" customWidth="1"/>
    <col min="8" max="8" width="15.25" style="6" bestFit="1" customWidth="1"/>
    <col min="9" max="9" width="11.25" style="6" bestFit="1" customWidth="1"/>
    <col min="10" max="16384" width="9" style="6"/>
  </cols>
  <sheetData>
    <row r="1" spans="1:9" x14ac:dyDescent="0.3">
      <c r="A1" s="7" t="s">
        <v>8</v>
      </c>
      <c r="B1" s="7" t="s">
        <v>7</v>
      </c>
      <c r="D1" s="7" t="s">
        <v>38</v>
      </c>
      <c r="E1" s="7" t="s">
        <v>39</v>
      </c>
      <c r="G1" s="7" t="s">
        <v>32</v>
      </c>
      <c r="H1" s="7" t="s">
        <v>33</v>
      </c>
      <c r="I1" s="7" t="s">
        <v>34</v>
      </c>
    </row>
    <row r="2" spans="1:9" x14ac:dyDescent="0.3">
      <c r="A2" s="6">
        <v>1</v>
      </c>
      <c r="B2" s="6" t="s">
        <v>47</v>
      </c>
      <c r="D2" s="6">
        <v>0</v>
      </c>
      <c r="E2" s="6" t="s">
        <v>46</v>
      </c>
      <c r="G2" s="6">
        <v>1</v>
      </c>
      <c r="H2" s="6" t="str">
        <f>VLOOKUP($G2,[2]Property!$5:$1048576,MATCH(H$1,[2]Property!$2:$2,0),0)</f>
        <v>MaxHp</v>
      </c>
      <c r="I2" s="6" t="str">
        <f>VLOOKUP($G2,[2]Property!$5:$1048576,MATCH(I$1,[2]Property!$2:$2,0),0)</f>
        <v>生命</v>
      </c>
    </row>
    <row r="3" spans="1:9" x14ac:dyDescent="0.3">
      <c r="A3" s="6">
        <v>2</v>
      </c>
      <c r="B3" s="6" t="s">
        <v>48</v>
      </c>
      <c r="D3" s="6">
        <v>1</v>
      </c>
      <c r="E3" s="6" t="s">
        <v>40</v>
      </c>
      <c r="G3" s="6">
        <v>2</v>
      </c>
      <c r="H3" s="6" t="str">
        <f>VLOOKUP($G3,[2]Property!$5:$1048576,MATCH(H$1,[2]Property!$2:$2,0),0)</f>
        <v>MaxMp</v>
      </c>
      <c r="I3" s="6" t="str">
        <f>VLOOKUP($G3,[2]Property!$5:$1048576,MATCH(I$1,[2]Property!$2:$2,0),0)</f>
        <v>魔法</v>
      </c>
    </row>
    <row r="4" spans="1:9" x14ac:dyDescent="0.3">
      <c r="A4" s="6">
        <v>3</v>
      </c>
      <c r="B4" s="6" t="s">
        <v>5</v>
      </c>
      <c r="D4" s="6">
        <v>2</v>
      </c>
      <c r="E4" s="6" t="s">
        <v>41</v>
      </c>
      <c r="G4" s="6">
        <v>3</v>
      </c>
      <c r="H4" s="6" t="str">
        <f>VLOOKUP($G4,[2]Property!$5:$1048576,MATCH(H$1,[2]Property!$2:$2,0),0)</f>
        <v>Hp</v>
      </c>
      <c r="I4" s="6" t="str">
        <f>VLOOKUP($G4,[2]Property!$5:$1048576,MATCH(I$1,[2]Property!$2:$2,0),0)</f>
        <v>当前生命</v>
      </c>
    </row>
    <row r="5" spans="1:9" x14ac:dyDescent="0.3">
      <c r="A5" s="6">
        <v>4</v>
      </c>
      <c r="B5" s="6" t="s">
        <v>6</v>
      </c>
      <c r="D5" s="6">
        <v>3</v>
      </c>
      <c r="E5" s="6" t="s">
        <v>42</v>
      </c>
      <c r="G5" s="6">
        <v>4</v>
      </c>
      <c r="H5" s="6" t="str">
        <f>VLOOKUP($G5,[2]Property!$5:$1048576,MATCH(H$1,[2]Property!$2:$2,0),0)</f>
        <v>Mp</v>
      </c>
      <c r="I5" s="6" t="str">
        <f>VLOOKUP($G5,[2]Property!$5:$1048576,MATCH(I$1,[2]Property!$2:$2,0),0)</f>
        <v>当前魔法</v>
      </c>
    </row>
    <row r="6" spans="1:9" x14ac:dyDescent="0.3">
      <c r="D6" s="6">
        <v>4</v>
      </c>
      <c r="E6" s="6" t="s">
        <v>43</v>
      </c>
      <c r="G6" s="6">
        <v>5</v>
      </c>
      <c r="H6" s="6" t="str">
        <f>VLOOKUP($G6,[2]Property!$5:$1048576,MATCH(H$1,[2]Property!$2:$2,0),0)</f>
        <v>Strength</v>
      </c>
      <c r="I6" s="6" t="str">
        <f>VLOOKUP($G6,[2]Property!$5:$1048576,MATCH(I$1,[2]Property!$2:$2,0),0)</f>
        <v>力量</v>
      </c>
    </row>
    <row r="7" spans="1:9" x14ac:dyDescent="0.3">
      <c r="G7" s="6">
        <v>6</v>
      </c>
      <c r="H7" s="6" t="str">
        <f>VLOOKUP($G7,[2]Property!$5:$1048576,MATCH(H$1,[2]Property!$2:$2,0),0)</f>
        <v>Intelligence</v>
      </c>
      <c r="I7" s="6" t="str">
        <f>VLOOKUP($G7,[2]Property!$5:$1048576,MATCH(I$1,[2]Property!$2:$2,0),0)</f>
        <v>智力</v>
      </c>
    </row>
    <row r="8" spans="1:9" x14ac:dyDescent="0.3">
      <c r="G8" s="6">
        <v>7</v>
      </c>
      <c r="H8" s="6" t="str">
        <f>VLOOKUP($G8,[2]Property!$5:$1048576,MATCH(H$1,[2]Property!$2:$2,0),0)</f>
        <v>Power</v>
      </c>
      <c r="I8" s="6" t="str">
        <f>VLOOKUP($G8,[2]Property!$5:$1048576,MATCH(I$1,[2]Property!$2:$2,0),0)</f>
        <v>体力</v>
      </c>
    </row>
    <row r="9" spans="1:9" x14ac:dyDescent="0.3">
      <c r="G9" s="6">
        <v>8</v>
      </c>
      <c r="H9" s="6" t="str">
        <f>VLOOKUP($G9,[2]Property!$5:$1048576,MATCH(H$1,[2]Property!$2:$2,0),0)</f>
        <v>Spirit</v>
      </c>
      <c r="I9" s="6" t="str">
        <f>VLOOKUP($G9,[2]Property!$5:$1048576,MATCH(I$1,[2]Property!$2:$2,0),0)</f>
        <v>精神</v>
      </c>
    </row>
    <row r="10" spans="1:9" x14ac:dyDescent="0.3">
      <c r="G10" s="6">
        <v>9</v>
      </c>
      <c r="H10" s="6" t="str">
        <f>VLOOKUP($G10,[2]Property!$5:$1048576,MATCH(H$1,[2]Property!$2:$2,0),0)</f>
        <v>Patt</v>
      </c>
      <c r="I10" s="6" t="str">
        <f>VLOOKUP($G10,[2]Property!$5:$1048576,MATCH(I$1,[2]Property!$2:$2,0),0)</f>
        <v>物理攻击</v>
      </c>
    </row>
    <row r="11" spans="1:9" x14ac:dyDescent="0.3">
      <c r="G11" s="6">
        <v>10</v>
      </c>
      <c r="H11" s="6" t="str">
        <f>VLOOKUP($G11,[2]Property!$5:$1048576,MATCH(H$1,[2]Property!$2:$2,0),0)</f>
        <v>Matt</v>
      </c>
      <c r="I11" s="6" t="str">
        <f>VLOOKUP($G11,[2]Property!$5:$1048576,MATCH(I$1,[2]Property!$2:$2,0),0)</f>
        <v>法术攻击</v>
      </c>
    </row>
    <row r="12" spans="1:9" x14ac:dyDescent="0.3">
      <c r="G12" s="6">
        <v>11</v>
      </c>
      <c r="H12" s="6" t="str">
        <f>VLOOKUP($G12,[2]Property!$5:$1048576,MATCH(H$1,[2]Property!$2:$2,0),0)</f>
        <v>FixAtt</v>
      </c>
      <c r="I12" s="6" t="str">
        <f>VLOOKUP($G12,[2]Property!$5:$1048576,MATCH(I$1,[2]Property!$2:$2,0),0)</f>
        <v>固定攻击</v>
      </c>
    </row>
    <row r="13" spans="1:9" x14ac:dyDescent="0.3">
      <c r="G13" s="6">
        <v>12</v>
      </c>
      <c r="H13" s="6" t="str">
        <f>VLOOKUP($G13,[2]Property!$5:$1048576,MATCH(H$1,[2]Property!$2:$2,0),0)</f>
        <v>PattNodef</v>
      </c>
      <c r="I13" s="6" t="str">
        <f>VLOOKUP($G13,[2]Property!$5:$1048576,MATCH(I$1,[2]Property!$2:$2,0),0)</f>
        <v>破防物攻</v>
      </c>
    </row>
    <row r="14" spans="1:9" x14ac:dyDescent="0.3">
      <c r="G14" s="6">
        <v>13</v>
      </c>
      <c r="H14" s="6" t="str">
        <f>VLOOKUP($G14,[2]Property!$5:$1048576,MATCH(H$1,[2]Property!$2:$2,0),0)</f>
        <v>MattNodef</v>
      </c>
      <c r="I14" s="6" t="str">
        <f>VLOOKUP($G14,[2]Property!$5:$1048576,MATCH(I$1,[2]Property!$2:$2,0),0)</f>
        <v>破防法攻</v>
      </c>
    </row>
    <row r="15" spans="1:9" x14ac:dyDescent="0.3">
      <c r="G15" s="6">
        <v>14</v>
      </c>
      <c r="H15" s="6" t="str">
        <f>VLOOKUP($G15,[2]Property!$5:$1048576,MATCH(H$1,[2]Property!$2:$2,0),0)</f>
        <v>Pdef</v>
      </c>
      <c r="I15" s="6" t="str">
        <f>VLOOKUP($G15,[2]Property!$5:$1048576,MATCH(I$1,[2]Property!$2:$2,0),0)</f>
        <v>物理防御</v>
      </c>
    </row>
    <row r="16" spans="1:9" x14ac:dyDescent="0.3">
      <c r="G16" s="6">
        <v>15</v>
      </c>
      <c r="H16" s="6" t="str">
        <f>VLOOKUP($G16,[2]Property!$5:$1048576,MATCH(H$1,[2]Property!$2:$2,0),0)</f>
        <v>Mdef</v>
      </c>
      <c r="I16" s="6" t="str">
        <f>VLOOKUP($G16,[2]Property!$5:$1048576,MATCH(I$1,[2]Property!$2:$2,0),0)</f>
        <v>法术防御</v>
      </c>
    </row>
    <row r="17" spans="7:9" x14ac:dyDescent="0.3">
      <c r="G17" s="6">
        <v>16</v>
      </c>
      <c r="H17" s="6" t="str">
        <f>VLOOKUP($G17,[2]Property!$5:$1048576,MATCH(H$1,[2]Property!$2:$2,0),0)</f>
        <v>Pcrit</v>
      </c>
      <c r="I17" s="6" t="str">
        <f>VLOOKUP($G17,[2]Property!$5:$1048576,MATCH(I$1,[2]Property!$2:$2,0),0)</f>
        <v>物理暴击</v>
      </c>
    </row>
    <row r="18" spans="7:9" x14ac:dyDescent="0.3">
      <c r="G18" s="6">
        <v>17</v>
      </c>
      <c r="H18" s="6" t="str">
        <f>VLOOKUP($G18,[2]Property!$5:$1048576,MATCH(H$1,[2]Property!$2:$2,0),0)</f>
        <v>Mcrit</v>
      </c>
      <c r="I18" s="6" t="str">
        <f>VLOOKUP($G18,[2]Property!$5:$1048576,MATCH(I$1,[2]Property!$2:$2,0),0)</f>
        <v>法术暴击</v>
      </c>
    </row>
    <row r="19" spans="7:9" x14ac:dyDescent="0.3">
      <c r="G19" s="6">
        <v>18</v>
      </c>
      <c r="H19" s="6" t="str">
        <f>VLOOKUP($G19,[2]Property!$5:$1048576,MATCH(H$1,[2]Property!$2:$2,0),0)</f>
        <v>PcritDamage</v>
      </c>
      <c r="I19" s="6" t="str">
        <f>VLOOKUP($G19,[2]Property!$5:$1048576,MATCH(I$1,[2]Property!$2:$2,0),0)</f>
        <v>物暴伤害</v>
      </c>
    </row>
    <row r="20" spans="7:9" x14ac:dyDescent="0.3">
      <c r="G20" s="6">
        <v>19</v>
      </c>
      <c r="H20" s="6" t="str">
        <f>VLOOKUP($G20,[2]Property!$5:$1048576,MATCH(H$1,[2]Property!$2:$2,0),0)</f>
        <v>McritDamage</v>
      </c>
      <c r="I20" s="6" t="str">
        <f>VLOOKUP($G20,[2]Property!$5:$1048576,MATCH(I$1,[2]Property!$2:$2,0),0)</f>
        <v>法暴伤害</v>
      </c>
    </row>
    <row r="21" spans="7:9" x14ac:dyDescent="0.3">
      <c r="G21" s="6">
        <v>20</v>
      </c>
      <c r="H21" s="6" t="str">
        <f>VLOOKUP($G21,[2]Property!$5:$1048576,MATCH(H$1,[2]Property!$2:$2,0),0)</f>
        <v>AttSpeed</v>
      </c>
      <c r="I21" s="6" t="str">
        <f>VLOOKUP($G21,[2]Property!$5:$1048576,MATCH(I$1,[2]Property!$2:$2,0),0)</f>
        <v>攻击速度</v>
      </c>
    </row>
    <row r="22" spans="7:9" x14ac:dyDescent="0.3">
      <c r="G22" s="6">
        <v>21</v>
      </c>
      <c r="H22" s="6" t="str">
        <f>VLOOKUP($G22,[2]Property!$5:$1048576,MATCH(H$1,[2]Property!$2:$2,0),0)</f>
        <v>CastSpeed</v>
      </c>
      <c r="I22" s="6" t="str">
        <f>VLOOKUP($G22,[2]Property!$5:$1048576,MATCH(I$1,[2]Property!$2:$2,0),0)</f>
        <v>施法速度</v>
      </c>
    </row>
    <row r="23" spans="7:9" x14ac:dyDescent="0.3">
      <c r="G23" s="6">
        <v>22</v>
      </c>
      <c r="H23" s="6" t="str">
        <f>VLOOKUP($G23,[2]Property!$5:$1048576,MATCH(H$1,[2]Property!$2:$2,0),0)</f>
        <v>MoveSpeed</v>
      </c>
      <c r="I23" s="6" t="str">
        <f>VLOOKUP($G23,[2]Property!$5:$1048576,MATCH(I$1,[2]Property!$2:$2,0),0)</f>
        <v>移动速度</v>
      </c>
    </row>
    <row r="24" spans="7:9" x14ac:dyDescent="0.3">
      <c r="G24" s="6">
        <v>23</v>
      </c>
      <c r="H24" s="6" t="str">
        <f>VLOOKUP($G24,[2]Property!$5:$1048576,MATCH(H$1,[2]Property!$2:$2,0),0)</f>
        <v>Hit</v>
      </c>
      <c r="I24" s="6" t="str">
        <f>VLOOKUP($G24,[2]Property!$5:$1048576,MATCH(I$1,[2]Property!$2:$2,0),0)</f>
        <v>命中</v>
      </c>
    </row>
    <row r="25" spans="7:9" x14ac:dyDescent="0.3">
      <c r="G25" s="6">
        <v>24</v>
      </c>
      <c r="H25" s="6" t="str">
        <f>VLOOKUP($G25,[2]Property!$5:$1048576,MATCH(H$1,[2]Property!$2:$2,0),0)</f>
        <v>Dodge</v>
      </c>
      <c r="I25" s="6" t="str">
        <f>VLOOKUP($G25,[2]Property!$5:$1048576,MATCH(I$1,[2]Property!$2:$2,0),0)</f>
        <v>闪避</v>
      </c>
    </row>
    <row r="26" spans="7:9" x14ac:dyDescent="0.3">
      <c r="G26" s="6">
        <v>25</v>
      </c>
      <c r="H26" s="6" t="str">
        <f>VLOOKUP($G26,[2]Property!$5:$1048576,MATCH(H$1,[2]Property!$2:$2,0),0)</f>
        <v>HpAddTime</v>
      </c>
      <c r="I26" s="6" t="str">
        <f>VLOOKUP($G26,[2]Property!$5:$1048576,MATCH(I$1,[2]Property!$2:$2,0),0)</f>
        <v>生命回复</v>
      </c>
    </row>
    <row r="27" spans="7:9" x14ac:dyDescent="0.3">
      <c r="G27" s="6">
        <v>26</v>
      </c>
      <c r="H27" s="6" t="str">
        <f>VLOOKUP($G27,[2]Property!$5:$1048576,MATCH(H$1,[2]Property!$2:$2,0),0)</f>
        <v>MpAddTime</v>
      </c>
      <c r="I27" s="6" t="str">
        <f>VLOOKUP($G27,[2]Property!$5:$1048576,MATCH(I$1,[2]Property!$2:$2,0),0)</f>
        <v>魔法回复</v>
      </c>
    </row>
    <row r="28" spans="7:9" x14ac:dyDescent="0.3">
      <c r="G28" s="6">
        <v>27</v>
      </c>
      <c r="H28" s="6" t="str">
        <f>VLOOKUP($G28,[2]Property!$5:$1048576,MATCH(H$1,[2]Property!$2:$2,0),0)</f>
        <v>Rigidity</v>
      </c>
      <c r="I28" s="6" t="str">
        <f>VLOOKUP($G28,[2]Property!$5:$1048576,MATCH(I$1,[2]Property!$2:$2,0),0)</f>
        <v>僵直</v>
      </c>
    </row>
    <row r="29" spans="7:9" x14ac:dyDescent="0.3">
      <c r="G29" s="6">
        <v>28</v>
      </c>
      <c r="H29" s="6" t="str">
        <f>VLOOKUP($G29,[2]Property!$5:$1048576,MATCH(H$1,[2]Property!$2:$2,0),0)</f>
        <v>Stiff</v>
      </c>
      <c r="I29" s="6" t="str">
        <f>VLOOKUP($G29,[2]Property!$5:$1048576,MATCH(I$1,[2]Property!$2:$2,0),0)</f>
        <v>硬直</v>
      </c>
    </row>
    <row r="30" spans="7:9" x14ac:dyDescent="0.3">
      <c r="G30" s="6">
        <v>29</v>
      </c>
      <c r="H30" s="6" t="str">
        <f>VLOOKUP($G30,[2]Property!$5:$1048576,MATCH(H$1,[2]Property!$2:$2,0),0)</f>
        <v>EnhanceBright</v>
      </c>
      <c r="I30" s="6" t="str">
        <f>VLOOKUP($G30,[2]Property!$5:$1048576,MATCH(I$1,[2]Property!$2:$2,0),0)</f>
        <v>光属性强化</v>
      </c>
    </row>
    <row r="31" spans="7:9" x14ac:dyDescent="0.3">
      <c r="G31" s="6">
        <v>30</v>
      </c>
      <c r="H31" s="6" t="str">
        <f>VLOOKUP($G31,[2]Property!$5:$1048576,MATCH(H$1,[2]Property!$2:$2,0),0)</f>
        <v>EnhanceDark</v>
      </c>
      <c r="I31" s="6" t="str">
        <f>VLOOKUP($G31,[2]Property!$5:$1048576,MATCH(I$1,[2]Property!$2:$2,0),0)</f>
        <v>暗属性强化</v>
      </c>
    </row>
    <row r="32" spans="7:9" x14ac:dyDescent="0.3">
      <c r="G32" s="6">
        <v>31</v>
      </c>
      <c r="H32" s="6" t="str">
        <f>VLOOKUP($G32,[2]Property!$5:$1048576,MATCH(H$1,[2]Property!$2:$2,0),0)</f>
        <v>EnhanceIce</v>
      </c>
      <c r="I32" s="6" t="str">
        <f>VLOOKUP($G32,[2]Property!$5:$1048576,MATCH(I$1,[2]Property!$2:$2,0),0)</f>
        <v>冰属性强化</v>
      </c>
    </row>
    <row r="33" spans="7:9" x14ac:dyDescent="0.3">
      <c r="G33" s="6">
        <v>32</v>
      </c>
      <c r="H33" s="6" t="str">
        <f>VLOOKUP($G33,[2]Property!$5:$1048576,MATCH(H$1,[2]Property!$2:$2,0),0)</f>
        <v>EnhanceFire</v>
      </c>
      <c r="I33" s="6" t="str">
        <f>VLOOKUP($G33,[2]Property!$5:$1048576,MATCH(I$1,[2]Property!$2:$2,0),0)</f>
        <v>火属性强化</v>
      </c>
    </row>
    <row r="34" spans="7:9" x14ac:dyDescent="0.3">
      <c r="G34" s="6">
        <v>33</v>
      </c>
      <c r="H34" s="6" t="str">
        <f>VLOOKUP($G34,[2]Property!$5:$1048576,MATCH(H$1,[2]Property!$2:$2,0),0)</f>
        <v>DefBright</v>
      </c>
      <c r="I34" s="6" t="str">
        <f>VLOOKUP($G34,[2]Property!$5:$1048576,MATCH(I$1,[2]Property!$2:$2,0),0)</f>
        <v>光属性抗性</v>
      </c>
    </row>
    <row r="35" spans="7:9" x14ac:dyDescent="0.3">
      <c r="G35" s="6">
        <v>34</v>
      </c>
      <c r="H35" s="6" t="str">
        <f>VLOOKUP($G35,[2]Property!$5:$1048576,MATCH(H$1,[2]Property!$2:$2,0),0)</f>
        <v>DefDark</v>
      </c>
      <c r="I35" s="6" t="str">
        <f>VLOOKUP($G35,[2]Property!$5:$1048576,MATCH(I$1,[2]Property!$2:$2,0),0)</f>
        <v>暗属性抗性</v>
      </c>
    </row>
    <row r="36" spans="7:9" x14ac:dyDescent="0.3">
      <c r="G36" s="6">
        <v>35</v>
      </c>
      <c r="H36" s="6" t="str">
        <f>VLOOKUP($G36,[2]Property!$5:$1048576,MATCH(H$1,[2]Property!$2:$2,0),0)</f>
        <v>DefIce</v>
      </c>
      <c r="I36" s="6" t="str">
        <f>VLOOKUP($G36,[2]Property!$5:$1048576,MATCH(I$1,[2]Property!$2:$2,0),0)</f>
        <v>冰属性抗性</v>
      </c>
    </row>
    <row r="37" spans="7:9" x14ac:dyDescent="0.3">
      <c r="G37" s="6">
        <v>36</v>
      </c>
      <c r="H37" s="6" t="str">
        <f>VLOOKUP($G37,[2]Property!$5:$1048576,MATCH(H$1,[2]Property!$2:$2,0),0)</f>
        <v>DefFire</v>
      </c>
      <c r="I37" s="6" t="str">
        <f>VLOOKUP($G37,[2]Property!$5:$1048576,MATCH(I$1,[2]Property!$2:$2,0),0)</f>
        <v>火属性抗性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MonsterProp</vt:lpstr>
      <vt:lpstr>_备注说明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王兴东</cp:lastModifiedBy>
  <dcterms:created xsi:type="dcterms:W3CDTF">2015-06-05T18:19:00Z</dcterms:created>
  <dcterms:modified xsi:type="dcterms:W3CDTF">2020-06-11T11:47:54Z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2052-11.1.0.9740</vt:lpwstr>
  </property>
</Properties>
</file>